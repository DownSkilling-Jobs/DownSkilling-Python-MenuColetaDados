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NOV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_-"/>
    <numFmt numFmtId="165" formatCode="&quot;R$&quot;\ #,##0.00"/>
    <numFmt numFmtId="166" formatCode="R$ #,##0.00"/>
  </numFmts>
  <fonts count="10">
    <font>
      <name val="Calibri"/>
      <family val="2"/>
      <color theme="1"/>
      <sz val="11"/>
      <scheme val="minor"/>
    </font>
    <font>
      <name val="Aptos"/>
      <family val="2"/>
      <b val="1"/>
      <color theme="0" tint="-0.0499893185216834"/>
      <sz val="11"/>
    </font>
    <font>
      <name val="Aptos"/>
      <family val="2"/>
      <b val="1"/>
      <color theme="0" tint="-0.0499893185216834"/>
      <sz val="12"/>
    </font>
    <font>
      <name val="Aptos"/>
      <family val="2"/>
      <b val="1"/>
      <color theme="1"/>
      <sz val="14"/>
    </font>
    <font>
      <name val="Aptos"/>
      <family val="2"/>
      <b val="1"/>
      <color theme="1"/>
      <sz val="16"/>
    </font>
    <font>
      <name val="Aptos"/>
      <family val="2"/>
      <color theme="1"/>
      <sz val="11"/>
    </font>
    <font>
      <name val="Aptos"/>
      <family val="2"/>
      <b val="1"/>
      <color indexed="8"/>
      <sz val="12"/>
    </font>
    <font>
      <name val="Aptos"/>
      <family val="2"/>
      <b val="1"/>
      <color indexed="8"/>
      <sz val="14"/>
    </font>
    <font>
      <name val="Aptos"/>
      <family val="2"/>
      <b val="1"/>
      <color theme="0" tint="-0.0499893185216834"/>
      <sz val="11"/>
      <u val="single"/>
    </font>
    <font>
      <name val="Aptos"/>
      <sz val="11"/>
    </font>
  </fonts>
  <fills count="5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00000000"/>
      </left>
      <right style="medium">
        <color rgb="00000000"/>
      </right>
      <top>
        <color rgb="00000000"/>
      </top>
      <bottom>
        <color rgb="00000000"/>
      </bottom>
    </border>
  </borders>
  <cellStyleXfs count="2">
    <xf numFmtId="0" fontId="0" fillId="0" borderId="0"/>
    <xf numFmtId="0" fontId="9" fillId="0" borderId="14" applyAlignment="1">
      <alignment horizontal="center" vertical="center"/>
    </xf>
  </cellStyleXfs>
  <cellXfs count="5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5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164" fontId="1" fillId="4" borderId="3" applyAlignment="1" pivotButton="0" quotePrefix="0" xfId="0">
      <alignment horizontal="center" vertical="center"/>
    </xf>
    <xf numFmtId="0" fontId="0" fillId="2" borderId="10" pivotButton="0" quotePrefix="0" xfId="0"/>
    <xf numFmtId="0" fontId="0" fillId="2" borderId="5" applyAlignment="1" pivotButton="0" quotePrefix="0" xfId="0">
      <alignment horizontal="center" vertical="center"/>
    </xf>
    <xf numFmtId="3" fontId="2" fillId="4" borderId="11" applyAlignment="1" applyProtection="1" pivotButton="0" quotePrefix="0" xfId="0">
      <alignment horizontal="center" vertical="center"/>
      <protection locked="0" hidden="0"/>
    </xf>
    <xf numFmtId="0" fontId="0" fillId="2" borderId="6" pivotButton="0" quotePrefix="0" xfId="0"/>
    <xf numFmtId="0" fontId="0" fillId="2" borderId="2" pivotButton="0" quotePrefix="0" xfId="0"/>
    <xf numFmtId="0" fontId="0" fillId="2" borderId="3" pivotButton="0" quotePrefix="0" xfId="0"/>
    <xf numFmtId="0" fontId="8" fillId="4" borderId="1" applyAlignment="1" pivotButton="0" quotePrefix="0" xfId="0">
      <alignment horizontal="center" vertical="center"/>
    </xf>
    <xf numFmtId="165" fontId="1" fillId="4" borderId="2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5" fontId="6" fillId="0" borderId="9" applyAlignment="1" applyProtection="1" pivotButton="0" quotePrefix="0" xfId="0">
      <alignment horizontal="center" vertical="center"/>
      <protection locked="0" hidden="0"/>
    </xf>
    <xf numFmtId="165" fontId="1" fillId="4" borderId="3" applyAlignment="1" pivotButton="0" quotePrefix="0" xfId="0">
      <alignment horizontal="center" vertical="center"/>
    </xf>
    <xf numFmtId="165" fontId="1" fillId="4" borderId="1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165" fontId="7" fillId="0" borderId="2" applyAlignment="1" applyProtection="1" pivotButton="0" quotePrefix="0" xfId="0">
      <alignment horizontal="center" vertical="center"/>
      <protection locked="0" hidden="0"/>
    </xf>
    <xf numFmtId="165" fontId="7" fillId="0" borderId="4" applyAlignment="1" applyProtection="1" pivotButton="0" quotePrefix="0" xfId="0">
      <alignment horizontal="center" vertical="center"/>
      <protection locked="0" hidden="0"/>
    </xf>
    <xf numFmtId="0" fontId="3" fillId="3" borderId="2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164" fontId="1" fillId="4" borderId="3" applyAlignment="1" pivotButton="0" quotePrefix="0" xfId="0">
      <alignment horizontal="center" vertical="center"/>
    </xf>
    <xf numFmtId="165" fontId="1" fillId="4" borderId="2" applyAlignment="1" pivotButton="0" quotePrefix="0" xfId="0">
      <alignment horizontal="center" vertical="center"/>
    </xf>
    <xf numFmtId="165" fontId="1" fillId="4" borderId="3" applyAlignment="1" pivotButton="0" quotePrefix="0" xfId="0">
      <alignment horizontal="center" vertical="center"/>
    </xf>
    <xf numFmtId="165" fontId="1" fillId="4" borderId="1" applyAlignment="1" pivotButton="0" quotePrefix="0" xfId="0">
      <alignment horizontal="center" vertical="center"/>
    </xf>
    <xf numFmtId="165" fontId="7" fillId="0" borderId="1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9" fillId="0" borderId="14" applyAlignment="1" pivotButton="0" quotePrefix="0" xfId="1">
      <alignment horizontal="center" vertical="center"/>
    </xf>
    <xf numFmtId="166" fontId="9" fillId="0" borderId="14" applyAlignment="1" pivotButton="0" quotePrefix="0" xfId="1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6" fillId="0" borderId="9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standard_style" xfId="1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tabSelected="1" zoomScaleNormal="100" workbookViewId="0">
      <pane xSplit="14" ySplit="2" topLeftCell="O3" activePane="bottomRight" state="frozen"/>
      <selection activeCell="A1" sqref="A1:H1"/>
      <selection pane="topRight" activeCell="A1" sqref="A1:H1"/>
      <selection pane="bottomLeft" activeCell="A1" sqref="A1:H1"/>
      <selection pane="bottomRight" activeCell="A3" sqref="A3"/>
    </sheetView>
  </sheetViews>
  <sheetFormatPr baseColWidth="8" defaultRowHeight="27" customHeight="1"/>
  <cols>
    <col width="6.85546875" customWidth="1" style="5" min="1" max="1"/>
    <col width="20" customWidth="1" style="4" min="2" max="2"/>
    <col width="23.140625" customWidth="1" style="5" min="3" max="3"/>
    <col width="18.5703125" customWidth="1" style="32" min="4" max="4"/>
    <col width="19.85546875" customWidth="1" style="33" min="5" max="5"/>
    <col width="22.5703125" customWidth="1" style="5" min="6" max="6"/>
    <col width="18.42578125" customWidth="1" style="34" min="7" max="7"/>
    <col width="18.140625" customWidth="1" style="35" min="8" max="8"/>
    <col width="12.42578125" customWidth="1" style="35" min="9" max="9"/>
    <col width="12" customWidth="1" style="35" min="10" max="10"/>
    <col width="1.5703125" customWidth="1" style="2" min="11" max="11"/>
    <col width="19.85546875" customWidth="1" min="12" max="12"/>
    <col width="39.7109375" customWidth="1" min="13" max="13"/>
    <col width="1.5703125" customWidth="1" style="2" min="14" max="14"/>
  </cols>
  <sheetData>
    <row r="1" ht="33" customHeight="1" thickBot="1">
      <c r="A1" s="24" t="inlineStr">
        <is>
          <t>Gasto Total - 11/2025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7" t="n"/>
      <c r="K1" s="9" t="n"/>
      <c r="L1" s="38" t="inlineStr">
        <is>
          <t>Total</t>
        </is>
      </c>
      <c r="M1" s="39" t="n"/>
      <c r="N1" s="9" t="n"/>
    </row>
    <row r="2" ht="33.75" customFormat="1" customHeight="1" s="1" thickBot="1">
      <c r="A2" s="7" t="inlineStr">
        <is>
          <t>Tipo</t>
        </is>
      </c>
      <c r="B2" s="31" t="inlineStr">
        <is>
          <t>Data de emissão</t>
        </is>
      </c>
      <c r="C2" s="7" t="inlineStr">
        <is>
          <t>Fornecedor</t>
        </is>
      </c>
      <c r="D2" s="40" t="inlineStr">
        <is>
          <t>N° da NF</t>
        </is>
      </c>
      <c r="E2" s="41" t="inlineStr">
        <is>
          <t>V. Total da NF</t>
        </is>
      </c>
      <c r="F2" s="15" t="inlineStr">
        <is>
          <t>Data de Vencimento</t>
        </is>
      </c>
      <c r="G2" s="42" t="inlineStr">
        <is>
          <t>ICMS</t>
        </is>
      </c>
      <c r="H2" s="43" t="inlineStr">
        <is>
          <t>COFINS</t>
        </is>
      </c>
      <c r="I2" s="43" t="inlineStr">
        <is>
          <t>PIS</t>
        </is>
      </c>
      <c r="J2" s="43" t="inlineStr">
        <is>
          <t>IPI</t>
        </is>
      </c>
      <c r="K2" s="10" t="n"/>
      <c r="L2" s="44">
        <f>SUM(E3:E200)</f>
        <v/>
      </c>
      <c r="M2" s="45" t="n"/>
      <c r="N2" s="10" t="n"/>
    </row>
    <row r="3" ht="27" customHeight="1" thickBot="1">
      <c r="A3" s="46" t="inlineStr">
        <is>
          <t>C</t>
        </is>
      </c>
      <c r="B3" s="46" t="inlineStr">
        <is>
          <t>2025-11-01</t>
        </is>
      </c>
      <c r="C3" s="46" t="inlineStr">
        <is>
          <t>Fornecedor A</t>
        </is>
      </c>
      <c r="D3" s="46" t="n">
        <v>12345</v>
      </c>
      <c r="E3" s="47" t="n">
        <v>1500</v>
      </c>
      <c r="F3" s="46" t="inlineStr">
        <is>
          <t>2025-11-30</t>
        </is>
      </c>
      <c r="G3" s="47" t="n">
        <v>270</v>
      </c>
      <c r="H3" s="47" t="n">
        <v>45</v>
      </c>
      <c r="I3" s="47" t="n">
        <v>22.5</v>
      </c>
      <c r="J3" s="47" t="n">
        <v>75</v>
      </c>
      <c r="L3" s="48" t="inlineStr">
        <is>
          <t>Valor pago para:</t>
        </is>
      </c>
      <c r="M3" s="39" t="n"/>
    </row>
    <row r="4" ht="27" customHeight="1" thickBot="1">
      <c r="A4" s="46" t="inlineStr">
        <is>
          <t>C</t>
        </is>
      </c>
      <c r="B4" s="46" t="inlineStr">
        <is>
          <t>2025-11-05</t>
        </is>
      </c>
      <c r="C4" s="46" t="inlineStr">
        <is>
          <t>Fornecedor B</t>
        </is>
      </c>
      <c r="D4" s="46" t="n">
        <v>12346</v>
      </c>
      <c r="E4" s="47" t="n">
        <v>2500</v>
      </c>
      <c r="F4" s="46" t="inlineStr">
        <is>
          <t>2025-12-05</t>
        </is>
      </c>
      <c r="G4" s="47" t="n">
        <v>450</v>
      </c>
      <c r="H4" s="47" t="n">
        <v>75</v>
      </c>
      <c r="I4" s="47" t="n">
        <v>37.5</v>
      </c>
      <c r="J4" s="47" t="n">
        <v>125</v>
      </c>
      <c r="L4" s="11" t="inlineStr">
        <is>
          <t>ICMS</t>
        </is>
      </c>
      <c r="M4" s="49">
        <f>SUM(G3:G200)</f>
        <v/>
      </c>
    </row>
    <row r="5" ht="27" customHeight="1" thickBot="1">
      <c r="A5" s="46" t="inlineStr">
        <is>
          <t>C</t>
        </is>
      </c>
      <c r="B5" s="46" t="inlineStr">
        <is>
          <t>2025-11-10</t>
        </is>
      </c>
      <c r="C5" s="46" t="inlineStr">
        <is>
          <t>Fornecedor C</t>
        </is>
      </c>
      <c r="D5" s="46" t="n">
        <v>12347</v>
      </c>
      <c r="E5" s="47" t="n">
        <v>3500</v>
      </c>
      <c r="F5" s="46" t="inlineStr">
        <is>
          <t>2025-12-10</t>
        </is>
      </c>
      <c r="G5" s="47" t="n">
        <v>630</v>
      </c>
      <c r="H5" s="47" t="n">
        <v>105</v>
      </c>
      <c r="I5" s="47" t="n">
        <v>52.5</v>
      </c>
      <c r="J5" s="47" t="n">
        <v>175</v>
      </c>
      <c r="L5" s="11" t="inlineStr">
        <is>
          <t>COFINS</t>
        </is>
      </c>
      <c r="M5" s="49">
        <f>SUM(G3:H200)</f>
        <v/>
      </c>
      <c r="N5" s="9" t="n"/>
    </row>
    <row r="6" ht="27" customHeight="1" thickBot="1">
      <c r="A6" s="46" t="inlineStr">
        <is>
          <t>S</t>
        </is>
      </c>
      <c r="B6" s="46" t="inlineStr">
        <is>
          <t>2025-11-15</t>
        </is>
      </c>
      <c r="C6" s="46" t="inlineStr">
        <is>
          <t>Eletricista A</t>
        </is>
      </c>
      <c r="D6" s="46" t="n">
        <v>54321</v>
      </c>
      <c r="E6" s="47" t="n">
        <v>1000</v>
      </c>
      <c r="F6" s="46" t="inlineStr">
        <is>
          <t>2025-12-15</t>
        </is>
      </c>
      <c r="G6" s="47" t="n">
        <v>0</v>
      </c>
      <c r="H6" s="47" t="n">
        <v>0</v>
      </c>
      <c r="I6" s="47" t="n">
        <v>0</v>
      </c>
      <c r="J6" s="47" t="n">
        <v>0</v>
      </c>
      <c r="L6" s="11" t="inlineStr">
        <is>
          <t>PIS</t>
        </is>
      </c>
      <c r="M6" s="49">
        <f>SUM(I3:I200)</f>
        <v/>
      </c>
    </row>
    <row r="7" ht="27" customHeight="1" thickBot="1">
      <c r="A7" s="46" t="inlineStr">
        <is>
          <t>S</t>
        </is>
      </c>
      <c r="B7" s="46" t="inlineStr">
        <is>
          <t>2025-11-20</t>
        </is>
      </c>
      <c r="C7" s="46" t="inlineStr">
        <is>
          <t>Mecanico B</t>
        </is>
      </c>
      <c r="D7" s="46" t="n">
        <v>54322</v>
      </c>
      <c r="E7" s="47" t="n">
        <v>2000</v>
      </c>
      <c r="F7" s="46" t="inlineStr">
        <is>
          <t>2025-12-20</t>
        </is>
      </c>
      <c r="G7" s="47" t="n">
        <v>0</v>
      </c>
      <c r="H7" s="47" t="n">
        <v>0</v>
      </c>
      <c r="I7" s="47" t="n">
        <v>0</v>
      </c>
      <c r="J7" s="47" t="n">
        <v>0</v>
      </c>
      <c r="L7" s="11" t="inlineStr">
        <is>
          <t>IPI</t>
        </is>
      </c>
      <c r="M7" s="49">
        <f>SUM(J3:J200)</f>
        <v/>
      </c>
    </row>
    <row r="8" ht="27" customHeight="1" thickBot="1">
      <c r="A8" s="46" t="inlineStr">
        <is>
          <t>S</t>
        </is>
      </c>
      <c r="B8" s="46" t="inlineStr">
        <is>
          <t>2025-11-25</t>
        </is>
      </c>
      <c r="C8" s="46" t="inlineStr">
        <is>
          <t>Consultoria C</t>
        </is>
      </c>
      <c r="D8" s="46" t="n">
        <v>54323</v>
      </c>
      <c r="E8" s="47" t="n">
        <v>3000</v>
      </c>
      <c r="F8" s="46" t="inlineStr">
        <is>
          <t>2025-12-25</t>
        </is>
      </c>
      <c r="G8" s="47" t="n">
        <v>0</v>
      </c>
      <c r="H8" s="47" t="n">
        <v>0</v>
      </c>
      <c r="I8" s="47" t="n">
        <v>0</v>
      </c>
      <c r="J8" s="47" t="n">
        <v>0</v>
      </c>
      <c r="L8" s="13" t="n"/>
      <c r="M8" s="14" t="n"/>
    </row>
    <row r="9" ht="27" customHeight="1">
      <c r="A9" s="46" t="inlineStr">
        <is>
          <t>D</t>
        </is>
      </c>
      <c r="B9" s="46" t="inlineStr">
        <is>
          <t>2025-11-30</t>
        </is>
      </c>
      <c r="C9" s="46" t="inlineStr">
        <is>
          <t>Enel</t>
        </is>
      </c>
      <c r="D9" s="46" t="n">
        <v>67890</v>
      </c>
      <c r="E9" s="47" t="n">
        <v>4000</v>
      </c>
      <c r="F9" s="46" t="inlineStr">
        <is>
          <t>2025-12-30</t>
        </is>
      </c>
      <c r="G9" s="47" t="n">
        <v>640</v>
      </c>
      <c r="H9" s="47" t="n">
        <v>120</v>
      </c>
      <c r="I9" s="47" t="n">
        <v>60</v>
      </c>
      <c r="J9" s="47" t="n">
        <v>200</v>
      </c>
      <c r="K9" s="12" t="n"/>
    </row>
    <row r="10" ht="27" customHeight="1">
      <c r="A10" s="46" t="inlineStr">
        <is>
          <t>D</t>
        </is>
      </c>
      <c r="B10" s="46" t="inlineStr">
        <is>
          <t>2025-12-05</t>
        </is>
      </c>
      <c r="C10" s="46" t="inlineStr">
        <is>
          <t>Sabesp</t>
        </is>
      </c>
      <c r="D10" s="46" t="n">
        <v>67891</v>
      </c>
      <c r="E10" s="47" t="n">
        <v>5000</v>
      </c>
      <c r="F10" s="46" t="inlineStr">
        <is>
          <t>2026-01-05</t>
        </is>
      </c>
      <c r="G10" s="47" t="n">
        <v>800</v>
      </c>
      <c r="H10" s="47" t="n">
        <v>150</v>
      </c>
      <c r="I10" s="47" t="n">
        <v>75</v>
      </c>
      <c r="J10" s="47" t="n">
        <v>250</v>
      </c>
      <c r="K10" s="12" t="n"/>
    </row>
    <row r="11" ht="27" customHeight="1">
      <c r="A11" s="46" t="inlineStr">
        <is>
          <t>D</t>
        </is>
      </c>
      <c r="B11" s="46" t="inlineStr">
        <is>
          <t>2025-12-10</t>
        </is>
      </c>
      <c r="C11" s="46" t="inlineStr">
        <is>
          <t>Telefonica</t>
        </is>
      </c>
      <c r="D11" s="46" t="n">
        <v>67892</v>
      </c>
      <c r="E11" s="47" t="n">
        <v>6000</v>
      </c>
      <c r="F11" s="46" t="inlineStr">
        <is>
          <t>2026-01-10</t>
        </is>
      </c>
      <c r="G11" s="47" t="n">
        <v>960</v>
      </c>
      <c r="H11" s="47" t="n">
        <v>180</v>
      </c>
      <c r="I11" s="47" t="n">
        <v>90</v>
      </c>
      <c r="J11" s="47" t="n">
        <v>300</v>
      </c>
      <c r="K11" s="12" t="n"/>
    </row>
    <row r="22" ht="27" customHeight="1">
      <c r="L22" s="3" t="n"/>
      <c r="M22" s="3" t="n"/>
    </row>
  </sheetData>
  <mergeCells count="4">
    <mergeCell ref="L1:M1"/>
    <mergeCell ref="L2:M2"/>
    <mergeCell ref="A1:J1"/>
    <mergeCell ref="L3:M3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tecnologia crismac</dc:creator>
  <dcterms:created xsi:type="dcterms:W3CDTF">2025-10-14T12:31:14Z</dcterms:created>
  <dcterms:modified xsi:type="dcterms:W3CDTF">2025-11-17T13:32:05Z</dcterms:modified>
  <cp:lastModifiedBy>tecnologia crismac</cp:lastModifiedBy>
</cp:coreProperties>
</file>